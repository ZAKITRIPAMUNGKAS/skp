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ingkasan SAW" sheetId="1" r:id="rId4"/>
    <sheet name="Detail Pretest" sheetId="2" r:id="rId5"/>
    <sheet name="Detail Posttest" sheetId="3" r:id="rId6"/>
    <sheet name="Detail Psikomotor" sheetId="4" r:id="rId7"/>
    <sheet name="Detail Afektif" sheetId="5" r:id="rId8"/>
    <sheet name="Detail Kehadiran" sheetId="6" r:id="rId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<sst xmlns="http://schemas.openxmlformats.org/spreadsheetml/2006/main" uniqueCount="39">
  <si>
    <t>Rank</t>
  </si>
  <si>
    <t>Nama Lengkap</t>
  </si>
  <si>
    <t>NIP/NBM</t>
  </si>
  <si>
    <t>Unit Kerja</t>
  </si>
  <si>
    <t>C1 (Pretest) - Dari Sheet Detail</t>
  </si>
  <si>
    <t>C2 (Posttest) - Dari Sheet Detail</t>
  </si>
  <si>
    <t>C3 (Psikomotor) - Dari Sheet Detail</t>
  </si>
  <si>
    <t>C4 (Afektif) - Dari Sheet Detail</t>
  </si>
  <si>
    <t>C5 (Kehadiran) - Dari Sheet Detail</t>
  </si>
  <si>
    <t>Skor SAW (Excel Formula)</t>
  </si>
  <si>
    <t>Skor SAW Database (Aplikasi)</t>
  </si>
  <si>
    <t>Predikat</t>
  </si>
  <si>
    <t>Status Kelulusan</t>
  </si>
  <si>
    <t>Muk Andhim, S.Pd, M.Pd.</t>
  </si>
  <si>
    <t>-</t>
  </si>
  <si>
    <t>FAI - Program Studi Pendidikan Agama Islam</t>
  </si>
  <si>
    <t>Gita Aulia Nurani, S.Psi., Psikolog., M.Psi., Ph.D</t>
  </si>
  <si>
    <t>Fapsi - Program Studi Psikologi</t>
  </si>
  <si>
    <t>INFORMASI BOBOT KRITERIA AHP:</t>
  </si>
  <si>
    <t>C1 (Pretest)</t>
  </si>
  <si>
    <t>C2 (Posttest)</t>
  </si>
  <si>
    <t>C3 (Psikomotor)</t>
  </si>
  <si>
    <t>C4 (Afektif)</t>
  </si>
  <si>
    <t>C5 (Kehadiran)</t>
  </si>
  <si>
    <t>Jawaban Benar (Pretest)</t>
  </si>
  <si>
    <t>Total Soal (Pretest)</t>
  </si>
  <si>
    <t>Nilai C1 (Excel Formula)</t>
  </si>
  <si>
    <t>Jawaban Benar (Posttest)</t>
  </si>
  <si>
    <t>Total Soal (Posttest)</t>
  </si>
  <si>
    <t>Nilai C2 (Excel Formula)</t>
  </si>
  <si>
    <t>Skor Diperoleh (Psikomotor)</t>
  </si>
  <si>
    <t>Skor Maksimal (Praktik)</t>
  </si>
  <si>
    <t>Nilai C3 (Excel Formula)</t>
  </si>
  <si>
    <t>Skor Angket Diperoleh</t>
  </si>
  <si>
    <t>Skor Angket Maksimal</t>
  </si>
  <si>
    <t>Nilai C4 (Excel Formula)</t>
  </si>
  <si>
    <t>Jumlah Kehadiran (Sesi)</t>
  </si>
  <si>
    <t>Total Sesi Kegiatan</t>
  </si>
  <si>
    <t>Nilai C5 (Excel Formula)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</si>
</sst>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14B32"/>
        <bgColor rgb="FF114B32"/>
      </patternFill>
    </fill>
    <fill>
      <patternFill patternType="solid">
        <fgColor rgb="FF1C64F2"/>
        <bgColor rgb="FF1C64F2"/>
      </patternFill>
    </fill>
    <fill>
      <patternFill patternType="solid">
        <fgColor rgb="FF047A55"/>
        <bgColor rgb="FF047A55"/>
      </patternFill>
    </fill>
    <fill>
      <patternFill patternType="solid">
        <fgColor rgb="FF7E3AF2"/>
        <bgColor rgb="FF7E3AF2"/>
      </patternFill>
    </fill>
    <fill>
      <patternFill patternType="solid">
        <fgColor rgb="FFE02424"/>
        <bgColor rgb="FFE02424"/>
      </patternFill>
    </fill>
    <fill>
      <patternFill patternType="solid">
        <fgColor rgb="FFD03801"/>
        <bgColor rgb="FFD0380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2" fillId="0" borderId="0" applyFont="0" applyNumberFormat="1" applyFill="0" applyBorder="0" applyAlignment="0"/>
    <xf xfId="0" fontId="0" numFmtId="164" fillId="0" borderId="0" applyFont="0" applyNumberFormat="1" applyFill="0" applyBorder="0" applyAlignment="0"/>
    <xf xfId="0" fontId="2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" numFmtId="0" fillId="3" borderId="0" applyFont="1" applyNumberFormat="0" applyFill="1" applyBorder="0" applyAlignment="0"/>
    <xf xfId="0" fontId="1" numFmtId="0" fillId="4" borderId="0" applyFont="1" applyNumberFormat="0" applyFill="1" applyBorder="0" applyAlignment="0"/>
    <xf xfId="0" fontId="1" numFmtId="0" fillId="5" borderId="0" applyFont="1" applyNumberFormat="0" applyFill="1" applyBorder="0" applyAlignment="0"/>
    <xf xfId="0" fontId="1" numFmtId="0" fillId="6" borderId="0" applyFont="1" applyNumberFormat="0" applyFill="1" applyBorder="0" applyAlignment="0"/>
    <xf xfId="0" fontId="1" numFmtId="0" fillId="7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1"/>
  <sheetViews>
    <sheetView tabSelected="1" workbookViewId="0" showGridLines="true" showRowColHeaders="1">
      <selection activeCell="B7" sqref="B7:B11"/>
    </sheetView>
  </sheetViews>
  <sheetFormatPr defaultRowHeight="14.4" outlineLevelRow="0" outlineLevelCol="0"/>
  <cols>
    <col min="1" max="1" width="8" customWidth="true" style="0"/>
    <col min="2" max="2" width="30" customWidth="true" style="0"/>
    <col min="3" max="3" width="20" customWidth="true" style="0"/>
    <col min="4" max="4" width="30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20" customWidth="true" style="0"/>
    <col min="12" max="12" width="15" customWidth="true" style="0"/>
    <col min="13" max="13" width="18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B2" t="s">
        <v>13</v>
      </c>
      <c r="C2" t="s">
        <v>14</v>
      </c>
      <c r="D2" t="s">
        <v>15</v>
      </c>
      <c r="E2" s="2" t="str">
        <f>'Detail Pretest'!E2</f>
        <v>0</v>
      </c>
      <c r="F2" s="2" t="str">
        <f>'Detail Posttest'!E2</f>
        <v>0</v>
      </c>
      <c r="G2" s="2" t="str">
        <f>'Detail Psikomotor'!E2</f>
        <v>0</v>
      </c>
      <c r="H2" s="2" t="str">
        <f>'Detail Afektif'!E2</f>
        <v>0</v>
      </c>
      <c r="I2" s="2" t="str">
        <f>'Detail Kehadiran'!E2</f>
        <v>0</v>
      </c>
      <c r="J2" s="3" t="str">
        <f>(0.2 * E2 / MAX(E$2:E3)) + (0.2 * F2 / MAX(F$2:F3)) + (0.2 * G2 / MAX(G$2:G3)) + (0.2 * H2 / MAX(H$2:H3)) + (0.2 * I2 / MAX(I$2:I3))</f>
        <v>0</v>
      </c>
      <c r="K2" s="3">
        <v>0.0</v>
      </c>
    </row>
    <row r="3" spans="1:13">
      <c r="B3" t="s">
        <v>16</v>
      </c>
      <c r="C3" t="s">
        <v>14</v>
      </c>
      <c r="D3" t="s">
        <v>17</v>
      </c>
      <c r="E3" s="2" t="str">
        <f>'Detail Pretest'!E3</f>
        <v>0</v>
      </c>
      <c r="F3" s="2" t="str">
        <f>'Detail Posttest'!E3</f>
        <v>0</v>
      </c>
      <c r="G3" s="2" t="str">
        <f>'Detail Psikomotor'!E3</f>
        <v>0</v>
      </c>
      <c r="H3" s="2" t="str">
        <f>'Detail Afektif'!E3</f>
        <v>0</v>
      </c>
      <c r="I3" s="2" t="str">
        <f>'Detail Kehadiran'!E3</f>
        <v>0</v>
      </c>
      <c r="J3" s="3" t="str">
        <f>(0.2 * E3 / MAX(E$2:E3)) + (0.2 * F3 / MAX(F$2:F3)) + (0.2 * G3 / MAX(G$2:G3)) + (0.2 * H3 / MAX(H$2:H3)) + (0.2 * I3 / MAX(I$2:I3))</f>
        <v>0</v>
      </c>
      <c r="K3" s="3">
        <v>0.0</v>
      </c>
    </row>
    <row r="6" spans="1:13">
      <c r="A6" s="4" t="s">
        <v>18</v>
      </c>
    </row>
    <row r="7" spans="1:13">
      <c r="A7" t="s">
        <v>19</v>
      </c>
      <c r="B7" s="5">
        <v>0.2</v>
      </c>
    </row>
    <row r="8" spans="1:13">
      <c r="A8" t="s">
        <v>20</v>
      </c>
      <c r="B8" s="5">
        <v>0.2</v>
      </c>
    </row>
    <row r="9" spans="1:13">
      <c r="A9" t="s">
        <v>21</v>
      </c>
      <c r="B9" s="5">
        <v>0.2</v>
      </c>
    </row>
    <row r="10" spans="1:13">
      <c r="A10" t="s">
        <v>22</v>
      </c>
      <c r="B10" s="5">
        <v>0.2</v>
      </c>
    </row>
    <row r="11" spans="1:13">
      <c r="A11" t="s">
        <v>23</v>
      </c>
      <c r="B11" s="5">
        <v>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60.128" bestFit="true" customWidth="true" style="0"/>
    <col min="2" max="2" width="9.283" bestFit="true" customWidth="true" style="0"/>
    <col min="3" max="3" width="28.136" bestFit="true" customWidth="true" style="0"/>
    <col min="4" max="4" width="24.708" bestFit="true" customWidth="true" style="0"/>
    <col min="5" max="5" width="29.421" bestFit="true" customWidth="true" style="0"/>
  </cols>
  <sheetData>
    <row r="1" spans="1:5">
      <c r="A1" s="6" t="s">
        <v>1</v>
      </c>
      <c r="B1" s="6" t="s">
        <v>2</v>
      </c>
      <c r="C1" s="6" t="s">
        <v>24</v>
      </c>
      <c r="D1" s="6" t="s">
        <v>25</v>
      </c>
      <c r="E1" s="6" t="s">
        <v>26</v>
      </c>
    </row>
    <row r="2" spans="1:5">
      <c r="A2" t="s">
        <v>13</v>
      </c>
      <c r="B2" t="s">
        <v>14</v>
      </c>
      <c r="D2">
        <v>1</v>
      </c>
      <c r="E2" t="str">
        <f>IF(D2&gt;0, (C2/D2)*100, 0)</f>
        <v>0</v>
      </c>
    </row>
    <row r="3" spans="1:5">
      <c r="A3" t="s">
        <v>16</v>
      </c>
      <c r="B3" t="s">
        <v>14</v>
      </c>
      <c r="D3">
        <v>1</v>
      </c>
      <c r="E3" t="str">
        <f>IF(D3&gt;0, (C3/D3)*100, 0)</f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60.128" bestFit="true" customWidth="true" style="0"/>
    <col min="2" max="2" width="9.283" bestFit="true" customWidth="true" style="0"/>
    <col min="3" max="3" width="29.421" bestFit="true" customWidth="true" style="0"/>
    <col min="4" max="4" width="25.851" bestFit="true" customWidth="true" style="0"/>
    <col min="5" max="5" width="29.421" bestFit="true" customWidth="true" style="0"/>
  </cols>
  <sheetData>
    <row r="1" spans="1:5">
      <c r="A1" s="7" t="s">
        <v>1</v>
      </c>
      <c r="B1" s="7" t="s">
        <v>2</v>
      </c>
      <c r="C1" s="7" t="s">
        <v>27</v>
      </c>
      <c r="D1" s="7" t="s">
        <v>28</v>
      </c>
      <c r="E1" s="7" t="s">
        <v>29</v>
      </c>
    </row>
    <row r="2" spans="1:5">
      <c r="A2" t="s">
        <v>13</v>
      </c>
      <c r="B2" t="s">
        <v>14</v>
      </c>
      <c r="D2">
        <v>1</v>
      </c>
      <c r="E2" t="str">
        <f>IF(D2&gt;0, (C2/D2)*100, 0)</f>
        <v>0</v>
      </c>
    </row>
    <row r="3" spans="1:5">
      <c r="A3" t="s">
        <v>16</v>
      </c>
      <c r="B3" t="s">
        <v>14</v>
      </c>
      <c r="D3">
        <v>1</v>
      </c>
      <c r="E3" t="str">
        <f>IF(D3&gt;0, (C3/D3)*100, 0)</f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60.128" bestFit="true" customWidth="true" style="0"/>
    <col min="2" max="2" width="9.283" bestFit="true" customWidth="true" style="0"/>
    <col min="3" max="3" width="32.992" bestFit="true" customWidth="true" style="0"/>
    <col min="4" max="4" width="28.136" bestFit="true" customWidth="true" style="0"/>
    <col min="5" max="5" width="29.421" bestFit="true" customWidth="true" style="0"/>
  </cols>
  <sheetData>
    <row r="1" spans="1:5">
      <c r="A1" s="8" t="s">
        <v>1</v>
      </c>
      <c r="B1" s="8" t="s">
        <v>2</v>
      </c>
      <c r="C1" s="8" t="s">
        <v>30</v>
      </c>
      <c r="D1" s="8" t="s">
        <v>31</v>
      </c>
      <c r="E1" s="8" t="s">
        <v>32</v>
      </c>
    </row>
    <row r="2" spans="1:5">
      <c r="A2" t="s">
        <v>13</v>
      </c>
      <c r="B2" t="s">
        <v>14</v>
      </c>
      <c r="D2">
        <v>100</v>
      </c>
      <c r="E2" t="str">
        <f>IF(D2&gt;0, (C2/D2)*100, 0)</f>
        <v>0</v>
      </c>
    </row>
    <row r="3" spans="1:5">
      <c r="A3" t="s">
        <v>16</v>
      </c>
      <c r="B3" t="s">
        <v>14</v>
      </c>
      <c r="D3">
        <v>100</v>
      </c>
      <c r="E3" t="str">
        <f>IF(D3&gt;0, (C3/D3)*100, 0)</f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60.128" bestFit="true" customWidth="true" style="0"/>
    <col min="2" max="2" width="9.283" bestFit="true" customWidth="true" style="0"/>
    <col min="3" max="3" width="25.851" bestFit="true" customWidth="true" style="0"/>
    <col min="4" max="4" width="24.708" bestFit="true" customWidth="true" style="0"/>
    <col min="5" max="5" width="29.421" bestFit="true" customWidth="true" style="0"/>
  </cols>
  <sheetData>
    <row r="1" spans="1:5">
      <c r="A1" s="9" t="s">
        <v>1</v>
      </c>
      <c r="B1" s="9" t="s">
        <v>2</v>
      </c>
      <c r="C1" s="9" t="s">
        <v>33</v>
      </c>
      <c r="D1" s="9" t="s">
        <v>34</v>
      </c>
      <c r="E1" s="9" t="s">
        <v>35</v>
      </c>
    </row>
    <row r="2" spans="1:5">
      <c r="A2" t="s">
        <v>13</v>
      </c>
      <c r="B2" t="s">
        <v>14</v>
      </c>
      <c r="D2">
        <v>100</v>
      </c>
      <c r="E2" t="str">
        <f>IF(D2&gt;0, (C2/D2)*100, 0)</f>
        <v>0</v>
      </c>
    </row>
    <row r="3" spans="1:5">
      <c r="A3" t="s">
        <v>16</v>
      </c>
      <c r="B3" t="s">
        <v>14</v>
      </c>
      <c r="D3">
        <v>100</v>
      </c>
      <c r="E3" t="str">
        <f>IF(D3&gt;0, (C3/D3)*100, 0)</f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60.128" bestFit="true" customWidth="true" style="0"/>
    <col min="2" max="2" width="9.283" bestFit="true" customWidth="true" style="0"/>
    <col min="3" max="3" width="28.136" bestFit="true" customWidth="true" style="0"/>
    <col min="4" max="4" width="23.423" bestFit="true" customWidth="true" style="0"/>
    <col min="5" max="5" width="29.421" bestFit="true" customWidth="true" style="0"/>
  </cols>
  <sheetData>
    <row r="1" spans="1:5">
      <c r="A1" s="10" t="s">
        <v>1</v>
      </c>
      <c r="B1" s="10" t="s">
        <v>2</v>
      </c>
      <c r="C1" s="10" t="s">
        <v>36</v>
      </c>
      <c r="D1" s="10" t="s">
        <v>37</v>
      </c>
      <c r="E1" s="10" t="s">
        <v>38</v>
      </c>
    </row>
    <row r="2" spans="1:5">
      <c r="A2" t="s">
        <v>13</v>
      </c>
      <c r="B2" t="s">
        <v>14</v>
      </c>
      <c r="C2">
        <v>1</v>
      </c>
      <c r="D2">
        <v>1</v>
      </c>
      <c r="E2" t="str">
        <f>IF(D2&gt;0, (C2/D2)*100, 0)</f>
        <v>0</v>
      </c>
    </row>
    <row r="3" spans="1:5">
      <c r="A3" t="s">
        <v>16</v>
      </c>
      <c r="B3" t="s">
        <v>14</v>
      </c>
      <c r="C3">
        <v>1</v>
      </c>
      <c r="D3">
        <v>1</v>
      </c>
      <c r="E3" t="str">
        <f>IF(D3&gt;0, (C3/D3)*100, 0)</f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Ringkasan SAW</vt:lpstr>
      <vt:lpstr>Detail Pretest</vt:lpstr>
      <vt:lpstr>Detail Posttest</vt:lpstr>
      <vt:lpstr>Detail Psikomotor</vt:lpstr>
      <vt:lpstr>Detail Afektif</vt:lpstr>
      <vt:lpstr>Detail Kehadiran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2026-06-05T14:10:55+07:00</dcterms:created>
  <dcterms:modified xsi:type="dcterms:W3CDTF">2026-06-05T14:10:55+07:00</dcterms:modified>
  <dc:title>Untitled Spreadsheet</dc:title>
  <dc:description/>
  <dc:subject/>
  <cp:keywords/>
  <cp:category/>
</cp:coreProperties>
</file>